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ffort Estimation Tasks"/>
    <sheet r:id="rId2" sheetId="2" name="Team Effort Experience"/>
  </sheets>
  <calcPr fullCalcOnLoad="1"/>
</workbook>
</file>

<file path=xl/sharedStrings.xml><?xml version="1.0" encoding="utf-8"?>
<sst xmlns="http://schemas.openxmlformats.org/spreadsheetml/2006/main" count="304" uniqueCount="160">
  <si>
    <t>Team Member</t>
  </si>
  <si>
    <t>Software Development Experience (months)</t>
  </si>
  <si>
    <t>How was coding effort tracked</t>
  </si>
  <si>
    <t>How was non-coding effort tracked?</t>
  </si>
  <si>
    <t>Joshua Omori</t>
  </si>
  <si>
    <t>M1: Best Estimated Guess;  M2/M3: Tracked time spent per session and added it to total</t>
  </si>
  <si>
    <t>Darilyn Evangelista</t>
  </si>
  <si>
    <t>M1/M2/M3: Google stopwatch</t>
  </si>
  <si>
    <t>M1/M2/M3: Google stopwatch and estimation</t>
  </si>
  <si>
    <t>Andrew Narciso</t>
  </si>
  <si>
    <t>M1/M2/M3: Estimation</t>
  </si>
  <si>
    <t>Brian Kim</t>
  </si>
  <si>
    <t>M1: Estimate; M2/M3: Casual time tracking with a clock</t>
  </si>
  <si>
    <t>Yuhang Wu</t>
  </si>
  <si>
    <t>M1/M2/M3: Read the clock and take approximate the time elapsed during coding.</t>
  </si>
  <si>
    <t>M1/M2/M3: Personal feeling, daydreaming, etc.</t>
  </si>
  <si>
    <t>Task Number (M1)</t>
  </si>
  <si>
    <t>Summary of tasks</t>
  </si>
  <si>
    <t>Estiamte (hours)</t>
  </si>
  <si>
    <t>Coding Effort (hours)</t>
  </si>
  <si>
    <t>Non-Coding Effort (hours)</t>
  </si>
  <si>
    <t>Implementors</t>
  </si>
  <si>
    <t>Estimator:</t>
  </si>
  <si>
    <t>1 (M1)</t>
  </si>
  <si>
    <r>
      <t/>
    </r>
    <r>
      <rPr>
        <u/>
        <sz val="11"/>
        <color rgb="FF1155cc"/>
        <rFont val="Calibri"/>
        <family val="2"/>
        <scheme val="minor"/>
      </rPr>
      <t>Edit Home Page</t>
    </r>
  </si>
  <si>
    <t>Brian Kim, Joshua Omori</t>
  </si>
  <si>
    <t>1 (Brian), 2 (Josh)</t>
  </si>
  <si>
    <t>2 (M1)</t>
  </si>
  <si>
    <r>
      <t/>
    </r>
    <r>
      <rPr>
        <u/>
        <sz val="11"/>
        <color rgb="FF1155cc"/>
        <rFont val="Calibri"/>
        <family val="2"/>
        <scheme val="minor"/>
      </rPr>
      <t>Edit Login, Sign up, and Change Password Page</t>
    </r>
  </si>
  <si>
    <t>Darilyn Evangelista, Brian Kim</t>
  </si>
  <si>
    <t>4 (Brian), 2.5 (Darilyn)</t>
  </si>
  <si>
    <t>3 (M1)</t>
  </si>
  <si>
    <r>
      <t/>
    </r>
    <r>
      <rPr>
        <u/>
        <sz val="11"/>
        <color rgb="FF1155cc"/>
        <rFont val="Calibri"/>
        <family val="2"/>
        <scheme val="minor"/>
      </rPr>
      <t>Add My Store Page</t>
    </r>
  </si>
  <si>
    <t>Andrew Narciso, Yuhang Wu</t>
  </si>
  <si>
    <t>4 (M1)</t>
  </si>
  <si>
    <r>
      <t/>
    </r>
    <r>
      <rPr>
        <u/>
        <sz val="11"/>
        <color rgb="FF1155cc"/>
        <rFont val="Calibri"/>
        <family val="2"/>
        <scheme val="minor"/>
      </rPr>
      <t>Add the Merch Detail Page</t>
    </r>
  </si>
  <si>
    <t>5 (M1)</t>
  </si>
  <si>
    <r>
      <t/>
    </r>
    <r>
      <rPr>
        <u/>
        <sz val="11"/>
        <color rgb="FF1155cc"/>
        <rFont val="Calibri"/>
        <family val="2"/>
        <scheme val="minor"/>
      </rPr>
      <t>Add User Landing Page</t>
    </r>
  </si>
  <si>
    <t>Brian Kim, Yuhang Wu</t>
  </si>
  <si>
    <t>0.25 (Brian)</t>
  </si>
  <si>
    <t>6 (M1)</t>
  </si>
  <si>
    <r>
      <t/>
    </r>
    <r>
      <rPr>
        <u/>
        <sz val="11"/>
        <color rgb="FF1155cc"/>
        <rFont val="Calibri"/>
        <family val="2"/>
        <scheme val="minor"/>
      </rPr>
      <t>Add Admin's Home Page</t>
    </r>
  </si>
  <si>
    <t>7 (M1)</t>
  </si>
  <si>
    <r>
      <t/>
    </r>
    <r>
      <rPr>
        <u/>
        <sz val="11"/>
        <color rgb="FF1155cc"/>
        <rFont val="Calibri"/>
        <family val="2"/>
        <scheme val="minor"/>
      </rPr>
      <t>Design and set up a database.</t>
    </r>
  </si>
  <si>
    <t>8 (M1)</t>
  </si>
  <si>
    <t>Edit Footer and Header</t>
  </si>
  <si>
    <t>9 (M1)</t>
  </si>
  <si>
    <r>
      <t/>
    </r>
    <r>
      <rPr>
        <u/>
        <sz val="11"/>
        <color rgb="FF1155cc"/>
        <rFont val="Calibri"/>
        <family val="2"/>
        <scheme val="minor"/>
      </rPr>
      <t>Add Support Page</t>
    </r>
  </si>
  <si>
    <t>10 (M1)</t>
  </si>
  <si>
    <r>
      <t/>
    </r>
    <r>
      <rPr>
        <u/>
        <sz val="11"/>
        <color rgb="FF1155cc"/>
        <rFont val="Calibri"/>
        <family val="2"/>
        <scheme val="minor"/>
      </rPr>
      <t>Edit the Logout Page</t>
    </r>
  </si>
  <si>
    <t>11 (M1)</t>
  </si>
  <si>
    <r>
      <t/>
    </r>
    <r>
      <rPr>
        <u/>
        <sz val="11"/>
        <color rgb="FF1155cc"/>
        <rFont val="Calibri"/>
        <family val="2"/>
        <scheme val="minor"/>
      </rPr>
      <t>Add the Add Merch Page</t>
    </r>
  </si>
  <si>
    <t>12 (M1)</t>
  </si>
  <si>
    <r>
      <t/>
    </r>
    <r>
      <rPr>
        <u/>
        <sz val="11"/>
        <color rgb="FF1155cc"/>
        <rFont val="Calibri"/>
        <family val="2"/>
        <scheme val="minor"/>
      </rPr>
      <t>Add View Listing</t>
    </r>
  </si>
  <si>
    <t>13 (M1)</t>
  </si>
  <si>
    <r>
      <t/>
    </r>
    <r>
      <rPr>
        <u/>
        <sz val="11"/>
        <color rgb="FF1155cc"/>
        <rFont val="Calibri"/>
        <family val="2"/>
        <scheme val="minor"/>
      </rPr>
      <t>Implement notification for login authentication result</t>
    </r>
  </si>
  <si>
    <t>14 (M1)</t>
  </si>
  <si>
    <r>
      <t/>
    </r>
    <r>
      <rPr>
        <u/>
        <sz val="11"/>
        <color rgb="FF1155cc"/>
        <rFont val="Calibri"/>
        <family val="2"/>
        <scheme val="minor"/>
      </rPr>
      <t>Design an icon for Wonkes</t>
    </r>
  </si>
  <si>
    <t>15 (M1)</t>
  </si>
  <si>
    <r>
      <t/>
    </r>
    <r>
      <rPr>
        <u/>
        <sz val="11"/>
        <color rgb="FF1155cc"/>
        <rFont val="Calibri"/>
        <family val="2"/>
        <scheme val="minor"/>
      </rPr>
      <t>Edit the Merch Detail Page</t>
    </r>
  </si>
  <si>
    <t>16 (M1)</t>
  </si>
  <si>
    <r>
      <t/>
    </r>
    <r>
      <rPr>
        <u/>
        <sz val="11"/>
        <color rgb="FF1155cc"/>
        <rFont val="Calibri"/>
        <family val="2"/>
        <scheme val="minor"/>
      </rPr>
      <t>Edit Merch Photo Storage</t>
    </r>
  </si>
  <si>
    <t>17 (M1)</t>
  </si>
  <si>
    <r>
      <t/>
    </r>
    <r>
      <rPr>
        <u/>
        <sz val="11"/>
        <color rgb="FF1155cc"/>
        <rFont val="Calibri"/>
        <family val="2"/>
        <scheme val="minor"/>
      </rPr>
      <t>Create card that will be used for listings</t>
    </r>
  </si>
  <si>
    <t>18 (M1)</t>
  </si>
  <si>
    <r>
      <t/>
    </r>
    <r>
      <rPr>
        <u/>
        <sz val="11"/>
        <color rgb="FF1155cc"/>
        <rFont val="Calibri"/>
        <family val="2"/>
        <scheme val="minor"/>
      </rPr>
      <t>Migrate Login Credential System</t>
    </r>
  </si>
  <si>
    <t>19 (M1)</t>
  </si>
  <si>
    <r>
      <t/>
    </r>
    <r>
      <rPr>
        <u/>
        <sz val="11"/>
        <color rgb="FF1155cc"/>
        <rFont val="Calibri"/>
        <family val="2"/>
        <scheme val="minor"/>
      </rPr>
      <t>Fix and improve previous merges to the main branch</t>
    </r>
  </si>
  <si>
    <t>20 (M1)</t>
  </si>
  <si>
    <r>
      <t/>
    </r>
    <r>
      <rPr>
        <u/>
        <sz val="11"/>
        <color rgb="FF1155cc"/>
        <rFont val="Calibri"/>
        <family val="2"/>
        <scheme val="minor"/>
      </rPr>
      <t>Deploy to Vercel</t>
    </r>
  </si>
  <si>
    <t>21 (M1)</t>
  </si>
  <si>
    <r>
      <t/>
    </r>
    <r>
      <rPr>
        <u/>
        <sz val="11"/>
        <color rgb="FF1155cc"/>
        <rFont val="Calibri"/>
        <family val="2"/>
        <scheme val="minor"/>
      </rPr>
      <t>Add Image Preview for the Add Merch Page</t>
    </r>
  </si>
  <si>
    <t>22 (M1)</t>
  </si>
  <si>
    <r>
      <t/>
    </r>
    <r>
      <rPr>
        <u/>
        <sz val="11"/>
        <color rgb="FF1155cc"/>
        <rFont val="Calibri"/>
        <family val="2"/>
        <scheme val="minor"/>
      </rPr>
      <t>Innovate the Add Merch Page</t>
    </r>
  </si>
  <si>
    <t>23 (M1)</t>
  </si>
  <si>
    <r>
      <t/>
    </r>
    <r>
      <rPr>
        <u/>
        <sz val="11"/>
        <color rgb="FF1155cc"/>
        <rFont val="Calibri"/>
        <family val="2"/>
        <scheme val="minor"/>
      </rPr>
      <t>Final Touch Ups for M1</t>
    </r>
  </si>
  <si>
    <t>24 (M1)</t>
  </si>
  <si>
    <r>
      <t/>
    </r>
    <r>
      <rPr>
        <u/>
        <sz val="11"/>
        <color rgb="FF1155cc"/>
        <rFont val="Calibri"/>
        <family val="2"/>
        <scheme val="minor"/>
      </rPr>
      <t>Edit Navbar</t>
    </r>
  </si>
  <si>
    <t>25 (M1)</t>
  </si>
  <si>
    <r>
      <t/>
    </r>
    <r>
      <rPr>
        <u/>
        <sz val="11"/>
        <color rgb="FF1155cc"/>
        <rFont val="Calibri"/>
        <family val="2"/>
        <scheme val="minor"/>
      </rPr>
      <t>Fix Wrong GitHub Repo Name</t>
    </r>
  </si>
  <si>
    <t>26 (M1)</t>
  </si>
  <si>
    <r>
      <t/>
    </r>
    <r>
      <rPr>
        <u/>
        <sz val="11"/>
        <color rgb="FF1155cc"/>
        <rFont val="Calibri"/>
        <family val="2"/>
        <scheme val="minor"/>
      </rPr>
      <t>Delete My Page</t>
    </r>
  </si>
  <si>
    <t>27 (M1)</t>
  </si>
  <si>
    <r>
      <t/>
    </r>
    <r>
      <rPr>
        <u/>
        <sz val="11"/>
        <color rgb="FF1155cc"/>
        <rFont val="Calibri"/>
        <family val="2"/>
        <scheme val="minor"/>
      </rPr>
      <t>Improve Add Merch Form</t>
    </r>
  </si>
  <si>
    <t>28 (M1)</t>
  </si>
  <si>
    <r>
      <t/>
    </r>
    <r>
      <rPr>
        <u/>
        <sz val="11"/>
        <color rgb="FF1155cc"/>
        <rFont val="Calibri"/>
        <family val="2"/>
        <scheme val="minor"/>
      </rPr>
      <t>Validate UH Email Address</t>
    </r>
  </si>
  <si>
    <t>29 (M1)</t>
  </si>
  <si>
    <r>
      <t/>
    </r>
    <r>
      <rPr>
        <u/>
        <sz val="11"/>
        <color rgb="FF1155cc"/>
        <rFont val="Calibri"/>
        <family val="2"/>
        <scheme val="minor"/>
      </rPr>
      <t>Add Construction Ongoing Page</t>
    </r>
  </si>
  <si>
    <t>Total Hours:</t>
  </si>
  <si>
    <t>Task Number (M2)</t>
  </si>
  <si>
    <t>1 (M2)</t>
  </si>
  <si>
    <r>
      <t/>
    </r>
    <r>
      <rPr>
        <u/>
        <sz val="11"/>
        <color rgb="FF1155cc"/>
        <rFont val="Calibri"/>
        <family val="2"/>
        <scheme val="minor"/>
      </rPr>
      <t>Edit Wonkes page</t>
    </r>
  </si>
  <si>
    <t>Darilyn Evangelista, Yuhang Wu</t>
  </si>
  <si>
    <t>2 (M2)</t>
  </si>
  <si>
    <t>3 (M2)</t>
  </si>
  <si>
    <t>4 (M2)</t>
  </si>
  <si>
    <t>5 (M2)</t>
  </si>
  <si>
    <t>6 (M2)</t>
  </si>
  <si>
    <t>7 (M2)</t>
  </si>
  <si>
    <r>
      <t/>
    </r>
    <r>
      <rPr>
        <u/>
        <sz val="11"/>
        <color rgb="FF1155cc"/>
        <rFont val="Calibri"/>
        <family val="2"/>
        <scheme val="minor"/>
      </rPr>
      <t>Improve My Store Page</t>
    </r>
  </si>
  <si>
    <t>Yuhang Wu, Joshua Omori</t>
  </si>
  <si>
    <t>8 (M2)</t>
  </si>
  <si>
    <r>
      <t/>
    </r>
    <r>
      <rPr>
        <u/>
        <sz val="11"/>
        <color rgb="FF1155cc"/>
        <rFont val="Calibri"/>
        <family val="2"/>
        <scheme val="minor"/>
      </rPr>
      <t>Reduce Page Loading Time</t>
    </r>
  </si>
  <si>
    <t>9 (M2)</t>
  </si>
  <si>
    <r>
      <t/>
    </r>
    <r>
      <rPr>
        <u/>
        <sz val="11"/>
        <color rgb="FF1155cc"/>
        <rFont val="Calibri"/>
        <family val="2"/>
        <scheme val="minor"/>
      </rPr>
      <t>Add Reset Forgotten Password Feature Part 1</t>
    </r>
  </si>
  <si>
    <t>10 (M2)</t>
  </si>
  <si>
    <r>
      <t/>
    </r>
    <r>
      <rPr>
        <u/>
        <sz val="11"/>
        <color rgb="FF1155cc"/>
        <rFont val="Calibri"/>
        <family val="2"/>
        <scheme val="minor"/>
      </rPr>
      <t>Add Edit Merch Form</t>
    </r>
  </si>
  <si>
    <t>11 (M2)</t>
  </si>
  <si>
    <r>
      <t/>
    </r>
    <r>
      <rPr>
        <u/>
        <sz val="11"/>
        <color rgb="FF1155cc"/>
        <rFont val="Calibri"/>
        <family val="2"/>
        <scheme val="minor"/>
      </rPr>
      <t>Edit 404 Not Found Page</t>
    </r>
  </si>
  <si>
    <t>12 (M2)</t>
  </si>
  <si>
    <t>13 (M2)</t>
  </si>
  <si>
    <r>
      <t/>
    </r>
    <r>
      <rPr>
        <u/>
        <sz val="11"/>
        <color rgb="FF1155cc"/>
        <rFont val="Calibri"/>
        <family val="2"/>
        <scheme val="minor"/>
      </rPr>
      <t>Fix All Broken and Buggy Links</t>
    </r>
  </si>
  <si>
    <t>14 (M2)</t>
  </si>
  <si>
    <r>
      <t/>
    </r>
    <r>
      <rPr>
        <u/>
        <sz val="11"/>
        <color rgb="FF1155cc"/>
        <rFont val="Calibri"/>
        <family val="2"/>
        <scheme val="minor"/>
      </rPr>
      <t>Add Email User Feature</t>
    </r>
  </si>
  <si>
    <t>15 (M2)</t>
  </si>
  <si>
    <r>
      <t/>
    </r>
    <r>
      <rPr>
        <u/>
        <sz val="11"/>
        <color rgb="FF1155cc"/>
        <rFont val="Calibri"/>
        <family val="2"/>
        <scheme val="minor"/>
      </rPr>
      <t>Add Reset Forgotten Password Feature Part 2</t>
    </r>
  </si>
  <si>
    <t>16 (M2)</t>
  </si>
  <si>
    <r>
      <t/>
    </r>
    <r>
      <rPr>
        <u/>
        <sz val="11"/>
        <color rgb="FF1155cc"/>
        <rFont val="Calibri"/>
        <family val="2"/>
        <scheme val="minor"/>
      </rPr>
      <t>Landing Page UI Fix</t>
    </r>
  </si>
  <si>
    <t>17 (M2)</t>
  </si>
  <si>
    <r>
      <t/>
    </r>
    <r>
      <rPr>
        <u/>
        <sz val="11"/>
        <color rgb="FF1155cc"/>
        <rFont val="Calibri"/>
        <family val="2"/>
        <scheme val="minor"/>
      </rPr>
      <t>Add My Favorite Feature</t>
    </r>
  </si>
  <si>
    <t>18 (M2)</t>
  </si>
  <si>
    <r>
      <t/>
    </r>
    <r>
      <rPr>
        <u/>
        <sz val="11"/>
        <color rgb="FF1155cc"/>
        <rFont val="Calibri"/>
        <family val="2"/>
        <scheme val="minor"/>
      </rPr>
      <t>Add Like Implementation for Merch Detail + fix UI of View Listings and Liked Listings</t>
    </r>
  </si>
  <si>
    <t>19 (M2)</t>
  </si>
  <si>
    <r>
      <t/>
    </r>
    <r>
      <rPr>
        <u/>
        <sz val="11"/>
        <color rgb="FF1155cc"/>
        <rFont val="Calibri"/>
        <family val="2"/>
        <scheme val="minor"/>
      </rPr>
      <t>Make Fininshing Touches</t>
    </r>
  </si>
  <si>
    <t>Task Number (M3)</t>
  </si>
  <si>
    <t>1 (M3)</t>
  </si>
  <si>
    <r>
      <t/>
    </r>
    <r>
      <rPr>
        <u/>
        <sz val="11"/>
        <color rgb="FF1155cc"/>
        <rFont val="Calibri"/>
        <family val="2"/>
        <scheme val="minor"/>
      </rPr>
      <t>Implement Playwright “availability” tests for all pages</t>
    </r>
  </si>
  <si>
    <t>2 (M3)</t>
  </si>
  <si>
    <r>
      <t/>
    </r>
    <r>
      <rPr>
        <u/>
        <sz val="11"/>
        <color rgb="FF1155cc"/>
        <rFont val="Calibri"/>
        <family val="2"/>
        <scheme val="minor"/>
      </rPr>
      <t>Fix size of sign up page</t>
    </r>
  </si>
  <si>
    <t>3 (M3)</t>
  </si>
  <si>
    <r>
      <t/>
    </r>
    <r>
      <rPr>
        <u/>
        <sz val="11"/>
        <color rgb="FF1155cc"/>
        <rFont val="Calibri"/>
        <family val="2"/>
        <scheme val="minor"/>
      </rPr>
      <t>Update Webpage Info design in Support to look more complete</t>
    </r>
  </si>
  <si>
    <t>4 (M3)</t>
  </si>
  <si>
    <r>
      <t/>
    </r>
    <r>
      <rPr>
        <u/>
        <sz val="11"/>
        <color rgb="FF1155cc"/>
        <rFont val="Calibri"/>
        <family val="2"/>
        <scheme val="minor"/>
      </rPr>
      <t>Improve listing card</t>
    </r>
  </si>
  <si>
    <t>5 (M3)</t>
  </si>
  <si>
    <r>
      <t/>
    </r>
    <r>
      <rPr>
        <u/>
        <sz val="11"/>
        <color rgb="FF1155cc"/>
        <rFont val="Calibri"/>
        <family val="2"/>
        <scheme val="minor"/>
      </rPr>
      <t>Make username case-insesitive</t>
    </r>
  </si>
  <si>
    <t>6 (M3)</t>
  </si>
  <si>
    <r>
      <t/>
    </r>
    <r>
      <rPr>
        <u/>
        <sz val="11"/>
        <color rgb="FF1155cc"/>
        <rFont val="Calibri"/>
        <family val="2"/>
        <scheme val="minor"/>
      </rPr>
      <t>Image system overhaul</t>
    </r>
  </si>
  <si>
    <t>7 (M3)</t>
  </si>
  <si>
    <r>
      <t/>
    </r>
    <r>
      <rPr>
        <u/>
        <sz val="11"/>
        <color rgb="FF1155cc"/>
        <rFont val="Calibri"/>
        <family val="2"/>
        <scheme val="minor"/>
      </rPr>
      <t>Add method to delete listings (by own user/any admin)</t>
    </r>
  </si>
  <si>
    <t>8 (M3)</t>
  </si>
  <si>
    <r>
      <t/>
    </r>
    <r>
      <rPr>
        <u/>
        <sz val="11"/>
        <color rgb="FF1155cc"/>
        <rFont val="Calibri"/>
        <family val="2"/>
        <scheme val="minor"/>
      </rPr>
      <t>Finish Get Seller's Contact in Merch Panel</t>
    </r>
  </si>
  <si>
    <t>9 (M3)</t>
  </si>
  <si>
    <r>
      <t/>
    </r>
    <r>
      <rPr>
        <u/>
        <sz val="11"/>
        <color rgb="FF1155cc"/>
        <rFont val="Calibri"/>
        <family val="2"/>
        <scheme val="minor"/>
      </rPr>
      <t>Cancel button in edit listings should take you back to admin/added listings page</t>
    </r>
  </si>
  <si>
    <t>10 (M3)</t>
  </si>
  <si>
    <r>
      <t/>
    </r>
    <r>
      <rPr>
        <u/>
        <sz val="11"/>
        <color rgb="FF1155cc"/>
        <rFont val="Calibri"/>
        <family val="2"/>
        <scheme val="minor"/>
      </rPr>
      <t>Final smash</t>
    </r>
  </si>
  <si>
    <t>11 (M3)</t>
  </si>
  <si>
    <r>
      <t/>
    </r>
    <r>
      <rPr>
        <u/>
        <sz val="11"/>
        <color rgb="FF1155cc"/>
        <rFont val="Calibri"/>
        <family val="2"/>
        <scheme val="minor"/>
      </rPr>
      <t>Find Bugs that are currently plauging the site</t>
    </r>
  </si>
  <si>
    <t>12 (M3)</t>
  </si>
  <si>
    <r>
      <t/>
    </r>
    <r>
      <rPr>
        <u/>
        <sz val="11"/>
        <color rgb="FF1155cc"/>
        <rFont val="Calibri"/>
        <family val="2"/>
        <scheme val="minor"/>
      </rPr>
      <t>Add Pagenation to Likes and View Listings</t>
    </r>
  </si>
  <si>
    <t>13 (M3)</t>
  </si>
  <si>
    <r>
      <t/>
    </r>
    <r>
      <rPr>
        <u/>
        <sz val="11"/>
        <color rgb="FF1155cc"/>
        <rFont val="Calibri"/>
        <family val="2"/>
        <scheme val="minor"/>
      </rPr>
      <t>Change Admin Page</t>
    </r>
  </si>
  <si>
    <t>14 (M3)</t>
  </si>
  <si>
    <r>
      <t/>
    </r>
    <r>
      <rPr>
        <u/>
        <sz val="11"/>
        <color rgb="FF1155cc"/>
        <rFont val="Calibri"/>
        <family val="2"/>
        <scheme val="minor"/>
      </rPr>
      <t>Add Pagination and Search to Admin Panel</t>
    </r>
  </si>
  <si>
    <t>15 (M3)</t>
  </si>
  <si>
    <r>
      <t/>
    </r>
    <r>
      <rPr>
        <u/>
        <sz val="11"/>
        <color rgb="FF1155cc"/>
        <rFont val="Calibri"/>
        <family val="2"/>
        <scheme val="minor"/>
      </rPr>
      <t>Fix Stock Status</t>
    </r>
  </si>
  <si>
    <t>16 (M3)</t>
  </si>
  <si>
    <r>
      <t/>
    </r>
    <r>
      <rPr>
        <u/>
        <sz val="11"/>
        <color rgb="FF1155cc"/>
        <rFont val="Calibri"/>
        <family val="2"/>
        <scheme val="minor"/>
      </rPr>
      <t>Changing page number manually gives edit access for all merch</t>
    </r>
  </si>
  <si>
    <t>17 (M3)</t>
  </si>
  <si>
    <r>
      <t/>
    </r>
    <r>
      <rPr>
        <u/>
        <sz val="11"/>
        <color rgb="FF1155cc"/>
        <rFont val="Calibri"/>
        <family val="2"/>
        <scheme val="minor"/>
      </rPr>
      <t>Add method to delete own account</t>
    </r>
  </si>
  <si>
    <t>Grand Total Hours: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</si>
</sst>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2"/>
      <color rgb="FF495057"/>
      <name val="&quot;\0022Open Sans\0022&quot;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2" applyBorder="1" fontId="3" applyFont="1" fillId="2" applyFill="1" applyAlignment="1">
      <alignment horizontal="center"/>
    </xf>
    <xf xfId="0" numFmtId="0" borderId="3" applyBorder="1" fontId="4" applyFont="1" fillId="2" applyFill="1" applyAlignment="1">
      <alignment horizontal="center"/>
    </xf>
    <xf xfId="0" numFmtId="4" applyNumberFormat="1" borderId="3" applyBorder="1" fontId="4" applyFont="1" fillId="2" applyFill="1" applyAlignment="1">
      <alignment horizontal="center"/>
    </xf>
    <xf xfId="0" numFmtId="0" borderId="4" applyBorder="1" fontId="4" applyFont="1" fillId="2" applyFill="1" applyAlignment="1">
      <alignment horizontal="center"/>
    </xf>
    <xf xfId="0" numFmtId="0" borderId="1" applyBorder="1" fontId="5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7"/>
  <sheetViews>
    <sheetView workbookViewId="0" tabSelected="1"/>
  </sheetViews>
  <sheetFormatPr defaultRowHeight="15" x14ac:dyDescent="0.25"/>
  <cols>
    <col min="1" max="1" style="6" width="22.433571428571426" customWidth="1" bestFit="1"/>
    <col min="2" max="2" style="18" width="65.29071428571429" customWidth="1" bestFit="1"/>
    <col min="3" max="3" style="7" width="26.290714285714284" customWidth="1" bestFit="1"/>
    <col min="4" max="4" style="7" width="28.14785714285714" customWidth="1" bestFit="1"/>
    <col min="5" max="5" style="7" width="23.862142857142857" customWidth="1" bestFit="1"/>
    <col min="6" max="6" style="6" width="24.290714285714284" customWidth="1" bestFit="1"/>
    <col min="7" max="7" style="6" width="22.14785714285714" customWidth="1" bestFit="1"/>
  </cols>
  <sheetData>
    <row x14ac:dyDescent="0.25" r="1" customHeight="1" ht="21">
      <c r="A1" s="8" t="s">
        <v>16</v>
      </c>
      <c r="B1" s="9" t="s">
        <v>17</v>
      </c>
      <c r="C1" s="10" t="s">
        <v>18</v>
      </c>
      <c r="D1" s="10" t="s">
        <v>19</v>
      </c>
      <c r="E1" s="10" t="s">
        <v>20</v>
      </c>
      <c r="F1" s="11" t="s">
        <v>21</v>
      </c>
      <c r="G1" s="11" t="s">
        <v>22</v>
      </c>
    </row>
    <row x14ac:dyDescent="0.25" r="2" customHeight="1" ht="18.75">
      <c r="A2" s="3" t="s">
        <v>23</v>
      </c>
      <c r="B2" s="12" t="s">
        <v>24</v>
      </c>
      <c r="C2" s="4">
        <v>1</v>
      </c>
      <c r="D2" s="5">
        <v>2.66</v>
      </c>
      <c r="E2" s="5">
        <v>0.33</v>
      </c>
      <c r="F2" s="3" t="s">
        <v>25</v>
      </c>
      <c r="G2" s="3" t="s">
        <v>26</v>
      </c>
    </row>
    <row x14ac:dyDescent="0.25" r="3" customHeight="1" ht="18.75">
      <c r="A3" s="3" t="s">
        <v>27</v>
      </c>
      <c r="B3" s="12" t="s">
        <v>28</v>
      </c>
      <c r="C3" s="4">
        <v>1</v>
      </c>
      <c r="D3" s="4">
        <v>4</v>
      </c>
      <c r="E3" s="5">
        <v>2.5</v>
      </c>
      <c r="F3" s="3" t="s">
        <v>29</v>
      </c>
      <c r="G3" s="3" t="s">
        <v>30</v>
      </c>
    </row>
    <row x14ac:dyDescent="0.25" r="4" customHeight="1" ht="18.75">
      <c r="A4" s="3" t="s">
        <v>31</v>
      </c>
      <c r="B4" s="12" t="s">
        <v>32</v>
      </c>
      <c r="C4" s="4">
        <v>8</v>
      </c>
      <c r="D4" s="4">
        <v>4</v>
      </c>
      <c r="E4" s="4">
        <v>4</v>
      </c>
      <c r="F4" s="3" t="s">
        <v>33</v>
      </c>
      <c r="G4" s="3" t="s">
        <v>9</v>
      </c>
    </row>
    <row x14ac:dyDescent="0.25" r="5" customHeight="1" ht="18.75">
      <c r="A5" s="3" t="s">
        <v>34</v>
      </c>
      <c r="B5" s="12" t="s">
        <v>35</v>
      </c>
      <c r="C5" s="4">
        <v>3</v>
      </c>
      <c r="D5" s="5">
        <v>2.3</v>
      </c>
      <c r="E5" s="5">
        <v>0.7</v>
      </c>
      <c r="F5" s="3" t="s">
        <v>13</v>
      </c>
      <c r="G5" s="3" t="s">
        <v>13</v>
      </c>
    </row>
    <row x14ac:dyDescent="0.25" r="6" customHeight="1" ht="18.75">
      <c r="A6" s="3" t="s">
        <v>36</v>
      </c>
      <c r="B6" s="12" t="s">
        <v>37</v>
      </c>
      <c r="C6" s="5">
        <v>0.15</v>
      </c>
      <c r="D6" s="5">
        <v>0.1</v>
      </c>
      <c r="E6" s="4">
        <v>0</v>
      </c>
      <c r="F6" s="3" t="s">
        <v>38</v>
      </c>
      <c r="G6" s="3" t="s">
        <v>39</v>
      </c>
    </row>
    <row x14ac:dyDescent="0.25" r="7" customHeight="1" ht="18.75">
      <c r="A7" s="3" t="s">
        <v>40</v>
      </c>
      <c r="B7" s="12" t="s">
        <v>41</v>
      </c>
      <c r="C7" s="5">
        <v>0.5</v>
      </c>
      <c r="D7" s="5">
        <v>0.5</v>
      </c>
      <c r="E7" s="4">
        <v>0</v>
      </c>
      <c r="F7" s="3" t="s">
        <v>13</v>
      </c>
      <c r="G7" s="3" t="s">
        <v>13</v>
      </c>
    </row>
    <row x14ac:dyDescent="0.25" r="8" customHeight="1" ht="18.75">
      <c r="A8" s="3" t="s">
        <v>42</v>
      </c>
      <c r="B8" s="12" t="s">
        <v>43</v>
      </c>
      <c r="C8" s="4">
        <v>5</v>
      </c>
      <c r="D8" s="5">
        <v>4.2</v>
      </c>
      <c r="E8" s="5">
        <v>0.6</v>
      </c>
      <c r="F8" s="3" t="s">
        <v>13</v>
      </c>
      <c r="G8" s="3" t="s">
        <v>13</v>
      </c>
    </row>
    <row x14ac:dyDescent="0.25" r="9" customHeight="1" ht="18.75">
      <c r="A9" s="3" t="s">
        <v>44</v>
      </c>
      <c r="B9" s="12" t="s">
        <v>45</v>
      </c>
      <c r="C9" s="4">
        <v>5</v>
      </c>
      <c r="D9" s="4">
        <v>4</v>
      </c>
      <c r="E9" s="4">
        <v>3</v>
      </c>
      <c r="F9" s="3" t="s">
        <v>33</v>
      </c>
      <c r="G9" s="3" t="s">
        <v>9</v>
      </c>
    </row>
    <row x14ac:dyDescent="0.25" r="10" customHeight="1" ht="18.75">
      <c r="A10" s="3" t="s">
        <v>46</v>
      </c>
      <c r="B10" s="12" t="s">
        <v>47</v>
      </c>
      <c r="C10" s="4">
        <v>3</v>
      </c>
      <c r="D10" s="5">
        <v>2.5</v>
      </c>
      <c r="E10" s="4">
        <v>1</v>
      </c>
      <c r="F10" s="3" t="s">
        <v>4</v>
      </c>
      <c r="G10" s="3" t="s">
        <v>4</v>
      </c>
    </row>
    <row x14ac:dyDescent="0.25" r="11" customHeight="1" ht="18.75">
      <c r="A11" s="3" t="s">
        <v>48</v>
      </c>
      <c r="B11" s="12" t="s">
        <v>49</v>
      </c>
      <c r="C11" s="4">
        <v>1</v>
      </c>
      <c r="D11" s="5">
        <v>0.5</v>
      </c>
      <c r="E11" s="5">
        <v>0.1</v>
      </c>
      <c r="F11" s="3" t="s">
        <v>13</v>
      </c>
      <c r="G11" s="3" t="s">
        <v>13</v>
      </c>
    </row>
    <row x14ac:dyDescent="0.25" r="12" customHeight="1" ht="18.75">
      <c r="A12" s="3" t="s">
        <v>50</v>
      </c>
      <c r="B12" s="12" t="s">
        <v>51</v>
      </c>
      <c r="C12" s="4">
        <v>4</v>
      </c>
      <c r="D12" s="4">
        <v>5</v>
      </c>
      <c r="E12" s="4">
        <v>1</v>
      </c>
      <c r="F12" s="3" t="s">
        <v>13</v>
      </c>
      <c r="G12" s="3" t="s">
        <v>13</v>
      </c>
    </row>
    <row x14ac:dyDescent="0.25" r="13" customHeight="1" ht="18.75">
      <c r="A13" s="3" t="s">
        <v>52</v>
      </c>
      <c r="B13" s="12" t="s">
        <v>53</v>
      </c>
      <c r="C13" s="4">
        <v>3</v>
      </c>
      <c r="D13" s="4">
        <v>2</v>
      </c>
      <c r="E13" s="4">
        <v>1</v>
      </c>
      <c r="F13" s="3" t="s">
        <v>4</v>
      </c>
      <c r="G13" s="3" t="s">
        <v>4</v>
      </c>
    </row>
    <row x14ac:dyDescent="0.25" r="14" customHeight="1" ht="18.75">
      <c r="A14" s="3" t="s">
        <v>54</v>
      </c>
      <c r="B14" s="12" t="s">
        <v>55</v>
      </c>
      <c r="C14" s="4">
        <v>2</v>
      </c>
      <c r="D14" s="5">
        <v>1.2</v>
      </c>
      <c r="E14" s="5">
        <v>0.3</v>
      </c>
      <c r="F14" s="3" t="s">
        <v>13</v>
      </c>
      <c r="G14" s="3" t="s">
        <v>13</v>
      </c>
    </row>
    <row x14ac:dyDescent="0.25" r="15" customHeight="1" ht="18.75">
      <c r="A15" s="3" t="s">
        <v>56</v>
      </c>
      <c r="B15" s="12" t="s">
        <v>57</v>
      </c>
      <c r="C15" s="4">
        <v>1</v>
      </c>
      <c r="D15" s="5">
        <v>0.1</v>
      </c>
      <c r="E15" s="5">
        <v>1.5</v>
      </c>
      <c r="F15" s="3" t="s">
        <v>13</v>
      </c>
      <c r="G15" s="3" t="s">
        <v>13</v>
      </c>
    </row>
    <row x14ac:dyDescent="0.25" r="16" customHeight="1" ht="18.75">
      <c r="A16" s="3" t="s">
        <v>58</v>
      </c>
      <c r="B16" s="12" t="s">
        <v>59</v>
      </c>
      <c r="C16" s="5">
        <v>0.1</v>
      </c>
      <c r="D16" s="5">
        <v>0.1</v>
      </c>
      <c r="E16" s="4">
        <v>0</v>
      </c>
      <c r="F16" s="3" t="s">
        <v>13</v>
      </c>
      <c r="G16" s="3" t="s">
        <v>13</v>
      </c>
    </row>
    <row x14ac:dyDescent="0.25" r="17" customHeight="1" ht="18.75">
      <c r="A17" s="3" t="s">
        <v>60</v>
      </c>
      <c r="B17" s="12" t="s">
        <v>61</v>
      </c>
      <c r="C17" s="4">
        <v>3</v>
      </c>
      <c r="D17" s="5">
        <v>2.6</v>
      </c>
      <c r="E17" s="5">
        <v>0.5</v>
      </c>
      <c r="F17" s="3" t="s">
        <v>13</v>
      </c>
      <c r="G17" s="3" t="s">
        <v>13</v>
      </c>
    </row>
    <row x14ac:dyDescent="0.25" r="18" customHeight="1" ht="18.75">
      <c r="A18" s="3" t="s">
        <v>62</v>
      </c>
      <c r="B18" s="12" t="s">
        <v>63</v>
      </c>
      <c r="C18" s="4">
        <v>3</v>
      </c>
      <c r="D18" s="4">
        <v>4</v>
      </c>
      <c r="E18" s="4">
        <v>0</v>
      </c>
      <c r="F18" s="3" t="s">
        <v>4</v>
      </c>
      <c r="G18" s="3" t="s">
        <v>4</v>
      </c>
    </row>
    <row x14ac:dyDescent="0.25" r="19" customHeight="1" ht="18.75">
      <c r="A19" s="3" t="s">
        <v>64</v>
      </c>
      <c r="B19" s="12" t="s">
        <v>65</v>
      </c>
      <c r="C19" s="4">
        <v>48</v>
      </c>
      <c r="D19" s="4">
        <v>8</v>
      </c>
      <c r="E19" s="4">
        <v>2</v>
      </c>
      <c r="F19" s="3" t="s">
        <v>13</v>
      </c>
      <c r="G19" s="3" t="s">
        <v>13</v>
      </c>
    </row>
    <row x14ac:dyDescent="0.25" r="20" customHeight="1" ht="18.75">
      <c r="A20" s="3" t="s">
        <v>66</v>
      </c>
      <c r="B20" s="12" t="s">
        <v>67</v>
      </c>
      <c r="C20" s="5">
        <v>0.5</v>
      </c>
      <c r="D20" s="5">
        <v>0.1</v>
      </c>
      <c r="E20" s="4">
        <v>0</v>
      </c>
      <c r="F20" s="3" t="s">
        <v>13</v>
      </c>
      <c r="G20" s="3" t="s">
        <v>13</v>
      </c>
    </row>
    <row x14ac:dyDescent="0.25" r="21" customHeight="1" ht="18.75">
      <c r="A21" s="3" t="s">
        <v>68</v>
      </c>
      <c r="B21" s="12" t="s">
        <v>69</v>
      </c>
      <c r="C21" s="4">
        <v>2</v>
      </c>
      <c r="D21" s="5">
        <v>1.8</v>
      </c>
      <c r="E21" s="5">
        <v>0.2</v>
      </c>
      <c r="F21" s="3" t="s">
        <v>13</v>
      </c>
      <c r="G21" s="3" t="s">
        <v>13</v>
      </c>
    </row>
    <row x14ac:dyDescent="0.25" r="22" customHeight="1" ht="18.75">
      <c r="A22" s="3" t="s">
        <v>70</v>
      </c>
      <c r="B22" s="12" t="s">
        <v>71</v>
      </c>
      <c r="C22" s="4">
        <v>10</v>
      </c>
      <c r="D22" s="5">
        <v>0.5</v>
      </c>
      <c r="E22" s="5">
        <v>1.5</v>
      </c>
      <c r="F22" s="3" t="s">
        <v>13</v>
      </c>
      <c r="G22" s="3" t="s">
        <v>13</v>
      </c>
    </row>
    <row x14ac:dyDescent="0.25" r="23" customHeight="1" ht="18.75">
      <c r="A23" s="3" t="s">
        <v>72</v>
      </c>
      <c r="B23" s="12" t="s">
        <v>73</v>
      </c>
      <c r="C23" s="4">
        <v>1</v>
      </c>
      <c r="D23" s="5">
        <v>0.5</v>
      </c>
      <c r="E23" s="4">
        <v>0</v>
      </c>
      <c r="F23" s="3" t="s">
        <v>13</v>
      </c>
      <c r="G23" s="3" t="s">
        <v>13</v>
      </c>
    </row>
    <row x14ac:dyDescent="0.25" r="24" customHeight="1" ht="18.75">
      <c r="A24" s="3" t="s">
        <v>74</v>
      </c>
      <c r="B24" s="12" t="s">
        <v>75</v>
      </c>
      <c r="C24" s="4">
        <v>2</v>
      </c>
      <c r="D24" s="4">
        <v>6</v>
      </c>
      <c r="E24" s="4">
        <v>0</v>
      </c>
      <c r="F24" s="3" t="s">
        <v>4</v>
      </c>
      <c r="G24" s="3" t="s">
        <v>4</v>
      </c>
    </row>
    <row x14ac:dyDescent="0.25" r="25" customHeight="1" ht="17.25">
      <c r="A25" s="3" t="s">
        <v>76</v>
      </c>
      <c r="B25" s="12" t="s">
        <v>77</v>
      </c>
      <c r="C25" s="5">
        <v>0.5</v>
      </c>
      <c r="D25" s="5">
        <v>0.6</v>
      </c>
      <c r="E25" s="4">
        <v>0</v>
      </c>
      <c r="F25" s="3" t="s">
        <v>13</v>
      </c>
      <c r="G25" s="3" t="s">
        <v>13</v>
      </c>
    </row>
    <row x14ac:dyDescent="0.25" r="26" customHeight="1" ht="17.25">
      <c r="A26" s="3" t="s">
        <v>78</v>
      </c>
      <c r="B26" s="12" t="s">
        <v>79</v>
      </c>
      <c r="C26" s="5">
        <v>0.1</v>
      </c>
      <c r="D26" s="5">
        <v>0.1</v>
      </c>
      <c r="E26" s="4">
        <v>0</v>
      </c>
      <c r="F26" s="3" t="s">
        <v>13</v>
      </c>
      <c r="G26" s="3" t="s">
        <v>13</v>
      </c>
    </row>
    <row x14ac:dyDescent="0.25" r="27" customHeight="1" ht="17.25">
      <c r="A27" s="3" t="s">
        <v>80</v>
      </c>
      <c r="B27" s="12" t="s">
        <v>81</v>
      </c>
      <c r="C27" s="5">
        <v>0.1</v>
      </c>
      <c r="D27" s="5">
        <v>0.1</v>
      </c>
      <c r="E27" s="4">
        <v>0</v>
      </c>
      <c r="F27" s="3" t="s">
        <v>13</v>
      </c>
      <c r="G27" s="3" t="s">
        <v>13</v>
      </c>
    </row>
    <row x14ac:dyDescent="0.25" r="28" customHeight="1" ht="17.25">
      <c r="A28" s="3" t="s">
        <v>82</v>
      </c>
      <c r="B28" s="12" t="s">
        <v>83</v>
      </c>
      <c r="C28" s="4">
        <v>2</v>
      </c>
      <c r="D28" s="4">
        <v>3</v>
      </c>
      <c r="E28" s="5">
        <v>0.5</v>
      </c>
      <c r="F28" s="3" t="s">
        <v>13</v>
      </c>
      <c r="G28" s="3" t="s">
        <v>13</v>
      </c>
    </row>
    <row x14ac:dyDescent="0.25" r="29" customHeight="1" ht="17.25">
      <c r="A29" s="3" t="s">
        <v>84</v>
      </c>
      <c r="B29" s="12" t="s">
        <v>85</v>
      </c>
      <c r="C29" s="4">
        <v>0</v>
      </c>
      <c r="D29" s="4">
        <v>0</v>
      </c>
      <c r="E29" s="4">
        <v>0</v>
      </c>
      <c r="F29" s="3" t="s">
        <v>13</v>
      </c>
      <c r="G29" s="3" t="s">
        <v>13</v>
      </c>
    </row>
    <row x14ac:dyDescent="0.25" r="30" customHeight="1" ht="17.25">
      <c r="A30" s="3" t="s">
        <v>86</v>
      </c>
      <c r="B30" s="12" t="s">
        <v>87</v>
      </c>
      <c r="C30" s="5">
        <v>0.5</v>
      </c>
      <c r="D30" s="5">
        <v>0.1</v>
      </c>
      <c r="E30" s="5">
        <v>0.1</v>
      </c>
      <c r="F30" s="3" t="s">
        <v>13</v>
      </c>
      <c r="G30" s="3" t="s">
        <v>13</v>
      </c>
    </row>
    <row x14ac:dyDescent="0.25" r="31" customHeight="1" ht="17.25">
      <c r="A31" s="3"/>
      <c r="B31" s="13" t="s">
        <v>88</v>
      </c>
      <c r="C31" s="5">
        <f>SUM(C2:C30)</f>
      </c>
      <c r="D31" s="5">
        <f>SUM(D2:D30)</f>
      </c>
      <c r="E31" s="5">
        <f>SUM(E2:E30)</f>
      </c>
      <c r="F31" s="14"/>
      <c r="G31" s="14"/>
    </row>
    <row x14ac:dyDescent="0.25" r="32" customHeight="1" ht="17.25">
      <c r="A32" s="14"/>
      <c r="B32" s="15"/>
      <c r="C32" s="16"/>
      <c r="D32" s="16"/>
      <c r="E32" s="16"/>
      <c r="F32" s="14"/>
      <c r="G32" s="14"/>
    </row>
    <row x14ac:dyDescent="0.25" r="33" customHeight="1" ht="17.25">
      <c r="A33" s="8" t="s">
        <v>89</v>
      </c>
      <c r="B33" s="9" t="s">
        <v>17</v>
      </c>
      <c r="C33" s="10" t="s">
        <v>18</v>
      </c>
      <c r="D33" s="10" t="s">
        <v>19</v>
      </c>
      <c r="E33" s="10" t="s">
        <v>20</v>
      </c>
      <c r="F33" s="11" t="s">
        <v>21</v>
      </c>
      <c r="G33" s="11" t="s">
        <v>22</v>
      </c>
    </row>
    <row x14ac:dyDescent="0.25" r="34" customHeight="1" ht="17.25">
      <c r="A34" s="3" t="s">
        <v>90</v>
      </c>
      <c r="B34" s="12" t="s">
        <v>91</v>
      </c>
      <c r="C34" s="4">
        <v>10</v>
      </c>
      <c r="D34" s="4">
        <v>14</v>
      </c>
      <c r="E34" s="4">
        <v>2</v>
      </c>
      <c r="F34" s="3" t="s">
        <v>92</v>
      </c>
      <c r="G34" s="3" t="s">
        <v>13</v>
      </c>
    </row>
    <row x14ac:dyDescent="0.25" r="35" customHeight="1" ht="17.25">
      <c r="A35" s="3" t="s">
        <v>93</v>
      </c>
      <c r="B35" s="12" t="s">
        <v>81</v>
      </c>
      <c r="C35" s="5">
        <v>0.5</v>
      </c>
      <c r="D35" s="5">
        <v>0.1</v>
      </c>
      <c r="E35" s="4">
        <v>0</v>
      </c>
      <c r="F35" s="3" t="s">
        <v>13</v>
      </c>
      <c r="G35" s="3" t="s">
        <v>13</v>
      </c>
    </row>
    <row x14ac:dyDescent="0.25" r="36" customHeight="1" ht="17.25">
      <c r="A36" s="3" t="s">
        <v>94</v>
      </c>
      <c r="B36" s="12" t="s">
        <v>79</v>
      </c>
      <c r="C36" s="5">
        <v>0.5</v>
      </c>
      <c r="D36" s="5">
        <v>0.1</v>
      </c>
      <c r="E36" s="4">
        <v>0</v>
      </c>
      <c r="F36" s="3" t="s">
        <v>13</v>
      </c>
      <c r="G36" s="3" t="s">
        <v>13</v>
      </c>
    </row>
    <row x14ac:dyDescent="0.25" r="37" customHeight="1" ht="17.25">
      <c r="A37" s="3" t="s">
        <v>95</v>
      </c>
      <c r="B37" s="12" t="s">
        <v>85</v>
      </c>
      <c r="C37" s="5">
        <v>3.5</v>
      </c>
      <c r="D37" s="5">
        <v>0.65</v>
      </c>
      <c r="E37" s="5">
        <v>0.1</v>
      </c>
      <c r="F37" s="3" t="s">
        <v>13</v>
      </c>
      <c r="G37" s="3" t="s">
        <v>13</v>
      </c>
    </row>
    <row x14ac:dyDescent="0.25" r="38" customHeight="1" ht="17.25">
      <c r="A38" s="3" t="s">
        <v>96</v>
      </c>
      <c r="B38" s="12" t="s">
        <v>83</v>
      </c>
      <c r="C38" s="5">
        <v>3.5</v>
      </c>
      <c r="D38" s="5">
        <v>3.5</v>
      </c>
      <c r="E38" s="5">
        <v>0.5</v>
      </c>
      <c r="F38" s="3" t="s">
        <v>13</v>
      </c>
      <c r="G38" s="3" t="s">
        <v>13</v>
      </c>
    </row>
    <row x14ac:dyDescent="0.25" r="39" customHeight="1" ht="17.25">
      <c r="A39" s="3" t="s">
        <v>97</v>
      </c>
      <c r="B39" s="12" t="s">
        <v>77</v>
      </c>
      <c r="C39" s="5">
        <v>0.5</v>
      </c>
      <c r="D39" s="5">
        <v>0.1</v>
      </c>
      <c r="E39" s="4">
        <v>0</v>
      </c>
      <c r="F39" s="3" t="s">
        <v>13</v>
      </c>
      <c r="G39" s="3" t="s">
        <v>13</v>
      </c>
    </row>
    <row x14ac:dyDescent="0.25" r="40" customHeight="1" ht="17.25">
      <c r="A40" s="3" t="s">
        <v>98</v>
      </c>
      <c r="B40" s="12" t="s">
        <v>99</v>
      </c>
      <c r="C40" s="5">
        <v>4.5</v>
      </c>
      <c r="D40" s="5">
        <v>2.5</v>
      </c>
      <c r="E40" s="5">
        <v>0.5</v>
      </c>
      <c r="F40" s="3" t="s">
        <v>100</v>
      </c>
      <c r="G40" s="3" t="s">
        <v>13</v>
      </c>
    </row>
    <row x14ac:dyDescent="0.25" r="41" customHeight="1" ht="17.25">
      <c r="A41" s="3" t="s">
        <v>101</v>
      </c>
      <c r="B41" s="12" t="s">
        <v>102</v>
      </c>
      <c r="C41" s="5">
        <v>5.5</v>
      </c>
      <c r="D41" s="5">
        <v>5.5</v>
      </c>
      <c r="E41" s="4">
        <v>1</v>
      </c>
      <c r="F41" s="3" t="s">
        <v>13</v>
      </c>
      <c r="G41" s="3" t="s">
        <v>13</v>
      </c>
    </row>
    <row x14ac:dyDescent="0.25" r="42" customHeight="1" ht="17.25">
      <c r="A42" s="3" t="s">
        <v>103</v>
      </c>
      <c r="B42" s="12" t="s">
        <v>104</v>
      </c>
      <c r="C42" s="4">
        <v>5</v>
      </c>
      <c r="D42" s="4">
        <v>6</v>
      </c>
      <c r="E42" s="4">
        <v>1</v>
      </c>
      <c r="F42" s="3" t="s">
        <v>13</v>
      </c>
      <c r="G42" s="3" t="s">
        <v>13</v>
      </c>
    </row>
    <row x14ac:dyDescent="0.25" r="43" customHeight="1" ht="17.25">
      <c r="A43" s="3" t="s">
        <v>105</v>
      </c>
      <c r="B43" s="12" t="s">
        <v>106</v>
      </c>
      <c r="C43" s="4">
        <v>6</v>
      </c>
      <c r="D43" s="5">
        <v>6.5</v>
      </c>
      <c r="E43" s="5">
        <v>1.5</v>
      </c>
      <c r="F43" s="3" t="s">
        <v>13</v>
      </c>
      <c r="G43" s="3" t="s">
        <v>13</v>
      </c>
    </row>
    <row x14ac:dyDescent="0.25" r="44" customHeight="1" ht="17.25">
      <c r="A44" s="3" t="s">
        <v>107</v>
      </c>
      <c r="B44" s="12" t="s">
        <v>108</v>
      </c>
      <c r="C44" s="4">
        <v>1</v>
      </c>
      <c r="D44" s="4">
        <v>1</v>
      </c>
      <c r="E44" s="5">
        <v>0.2</v>
      </c>
      <c r="F44" s="3" t="s">
        <v>13</v>
      </c>
      <c r="G44" s="3" t="s">
        <v>13</v>
      </c>
    </row>
    <row x14ac:dyDescent="0.25" r="45" customHeight="1" ht="17.25">
      <c r="A45" s="3" t="s">
        <v>109</v>
      </c>
      <c r="B45" s="12" t="s">
        <v>87</v>
      </c>
      <c r="C45" s="4">
        <v>1</v>
      </c>
      <c r="D45" s="5">
        <v>0.7</v>
      </c>
      <c r="E45" s="5">
        <v>0.1</v>
      </c>
      <c r="F45" s="3" t="s">
        <v>13</v>
      </c>
      <c r="G45" s="3" t="s">
        <v>13</v>
      </c>
    </row>
    <row x14ac:dyDescent="0.25" r="46" customHeight="1" ht="17.25">
      <c r="A46" s="3" t="s">
        <v>110</v>
      </c>
      <c r="B46" s="12" t="s">
        <v>111</v>
      </c>
      <c r="C46" s="5">
        <v>2.5</v>
      </c>
      <c r="D46" s="5">
        <v>2.3</v>
      </c>
      <c r="E46" s="5">
        <v>0.2</v>
      </c>
      <c r="F46" s="3" t="s">
        <v>13</v>
      </c>
      <c r="G46" s="3" t="s">
        <v>13</v>
      </c>
    </row>
    <row x14ac:dyDescent="0.25" r="47" customHeight="1" ht="17.25">
      <c r="A47" s="3" t="s">
        <v>112</v>
      </c>
      <c r="B47" s="12" t="s">
        <v>113</v>
      </c>
      <c r="C47" s="4">
        <v>10</v>
      </c>
      <c r="D47" s="4">
        <v>3</v>
      </c>
      <c r="E47" s="4">
        <v>1</v>
      </c>
      <c r="F47" s="3" t="s">
        <v>13</v>
      </c>
      <c r="G47" s="3" t="s">
        <v>13</v>
      </c>
    </row>
    <row x14ac:dyDescent="0.25" r="48" customHeight="1" ht="17.25">
      <c r="A48" s="3" t="s">
        <v>114</v>
      </c>
      <c r="B48" s="12" t="s">
        <v>115</v>
      </c>
      <c r="C48" s="4">
        <v>5</v>
      </c>
      <c r="D48" s="5">
        <v>0.5</v>
      </c>
      <c r="E48" s="4">
        <v>0</v>
      </c>
      <c r="F48" s="3" t="s">
        <v>13</v>
      </c>
      <c r="G48" s="3" t="s">
        <v>13</v>
      </c>
    </row>
    <row x14ac:dyDescent="0.25" r="49" customHeight="1" ht="17.25">
      <c r="A49" s="3" t="s">
        <v>116</v>
      </c>
      <c r="B49" s="12" t="s">
        <v>117</v>
      </c>
      <c r="C49" s="4">
        <v>3</v>
      </c>
      <c r="D49" s="5">
        <v>2.8</v>
      </c>
      <c r="E49" s="5">
        <v>0.2</v>
      </c>
      <c r="F49" s="3" t="s">
        <v>6</v>
      </c>
      <c r="G49" s="3" t="s">
        <v>6</v>
      </c>
    </row>
    <row x14ac:dyDescent="0.25" r="50" customHeight="1" ht="17.25">
      <c r="A50" s="3" t="s">
        <v>118</v>
      </c>
      <c r="B50" s="12" t="s">
        <v>119</v>
      </c>
      <c r="C50" s="4">
        <v>4</v>
      </c>
      <c r="D50" s="5">
        <v>5.5</v>
      </c>
      <c r="E50" s="4">
        <v>1</v>
      </c>
      <c r="F50" s="3" t="s">
        <v>4</v>
      </c>
      <c r="G50" s="3" t="s">
        <v>4</v>
      </c>
    </row>
    <row x14ac:dyDescent="0.25" r="51" customHeight="1" ht="17.25">
      <c r="A51" s="3" t="s">
        <v>120</v>
      </c>
      <c r="B51" s="12" t="s">
        <v>121</v>
      </c>
      <c r="C51" s="4">
        <v>3</v>
      </c>
      <c r="D51" s="4">
        <v>2</v>
      </c>
      <c r="E51" s="5">
        <v>0.2</v>
      </c>
      <c r="F51" s="3" t="s">
        <v>4</v>
      </c>
      <c r="G51" s="3" t="s">
        <v>4</v>
      </c>
    </row>
    <row x14ac:dyDescent="0.25" r="52" customHeight="1" ht="17.25">
      <c r="A52" s="3" t="s">
        <v>122</v>
      </c>
      <c r="B52" s="12" t="s">
        <v>123</v>
      </c>
      <c r="C52" s="4">
        <v>2</v>
      </c>
      <c r="D52" s="4">
        <v>2</v>
      </c>
      <c r="E52" s="4">
        <v>0</v>
      </c>
      <c r="F52" s="3" t="s">
        <v>4</v>
      </c>
      <c r="G52" s="3" t="s">
        <v>4</v>
      </c>
    </row>
    <row x14ac:dyDescent="0.25" r="53" customHeight="1" ht="17.25">
      <c r="A53" s="14"/>
      <c r="B53" s="13" t="s">
        <v>88</v>
      </c>
      <c r="C53" s="4">
        <f>SUM(C34:C52)</f>
      </c>
      <c r="D53" s="5">
        <f>SUM(D34:D52)</f>
      </c>
      <c r="E53" s="5">
        <f>SUM(E34:E52)</f>
      </c>
      <c r="F53" s="14"/>
      <c r="G53" s="14"/>
    </row>
    <row x14ac:dyDescent="0.25" r="54" customHeight="1" ht="17.25">
      <c r="A54" s="14"/>
      <c r="B54" s="15"/>
      <c r="C54" s="16"/>
      <c r="D54" s="16"/>
      <c r="E54" s="16"/>
      <c r="F54" s="14"/>
      <c r="G54" s="14"/>
    </row>
    <row x14ac:dyDescent="0.25" r="55" customHeight="1" ht="17.25">
      <c r="A55" s="8" t="s">
        <v>124</v>
      </c>
      <c r="B55" s="9" t="s">
        <v>17</v>
      </c>
      <c r="C55" s="10" t="s">
        <v>18</v>
      </c>
      <c r="D55" s="10" t="s">
        <v>19</v>
      </c>
      <c r="E55" s="10" t="s">
        <v>20</v>
      </c>
      <c r="F55" s="11" t="s">
        <v>21</v>
      </c>
      <c r="G55" s="11" t="s">
        <v>22</v>
      </c>
    </row>
    <row x14ac:dyDescent="0.25" r="56" customHeight="1" ht="17.25">
      <c r="A56" s="3" t="s">
        <v>125</v>
      </c>
      <c r="B56" s="12" t="s">
        <v>126</v>
      </c>
      <c r="C56" s="4">
        <v>40</v>
      </c>
      <c r="D56" s="4">
        <v>16</v>
      </c>
      <c r="E56" s="4">
        <v>4</v>
      </c>
      <c r="F56" s="17" t="s">
        <v>9</v>
      </c>
      <c r="G56" s="17" t="s">
        <v>9</v>
      </c>
    </row>
    <row x14ac:dyDescent="0.25" r="57" customHeight="1" ht="17.25">
      <c r="A57" s="3" t="s">
        <v>127</v>
      </c>
      <c r="B57" s="12" t="s">
        <v>128</v>
      </c>
      <c r="C57" s="4">
        <v>1</v>
      </c>
      <c r="D57" s="5">
        <v>0.9</v>
      </c>
      <c r="E57" s="4">
        <v>0</v>
      </c>
      <c r="F57" s="3" t="s">
        <v>6</v>
      </c>
      <c r="G57" s="3" t="s">
        <v>6</v>
      </c>
    </row>
    <row x14ac:dyDescent="0.25" r="58" customHeight="1" ht="17.25">
      <c r="A58" s="3" t="s">
        <v>129</v>
      </c>
      <c r="B58" s="12" t="s">
        <v>130</v>
      </c>
      <c r="C58" s="5">
        <v>1.5</v>
      </c>
      <c r="D58" s="4">
        <v>2</v>
      </c>
      <c r="E58" s="5">
        <v>0.25</v>
      </c>
      <c r="F58" s="3" t="s">
        <v>6</v>
      </c>
      <c r="G58" s="3" t="s">
        <v>6</v>
      </c>
    </row>
    <row x14ac:dyDescent="0.25" r="59" customHeight="1" ht="17.25">
      <c r="A59" s="3" t="s">
        <v>131</v>
      </c>
      <c r="B59" s="12" t="s">
        <v>132</v>
      </c>
      <c r="C59" s="5">
        <v>2.5</v>
      </c>
      <c r="D59" s="4">
        <v>1</v>
      </c>
      <c r="E59" s="4">
        <v>2</v>
      </c>
      <c r="F59" s="3" t="s">
        <v>11</v>
      </c>
      <c r="G59" s="3" t="s">
        <v>11</v>
      </c>
    </row>
    <row x14ac:dyDescent="0.25" r="60" customHeight="1" ht="17.25">
      <c r="A60" s="3" t="s">
        <v>133</v>
      </c>
      <c r="B60" s="12" t="s">
        <v>134</v>
      </c>
      <c r="C60" s="5">
        <v>0.5</v>
      </c>
      <c r="D60" s="4">
        <v>1</v>
      </c>
      <c r="E60" s="4">
        <v>1</v>
      </c>
      <c r="F60" s="3" t="s">
        <v>25</v>
      </c>
      <c r="G60" s="3" t="s">
        <v>4</v>
      </c>
    </row>
    <row x14ac:dyDescent="0.25" r="61" customHeight="1" ht="17.25">
      <c r="A61" s="3" t="s">
        <v>135</v>
      </c>
      <c r="B61" s="12" t="s">
        <v>136</v>
      </c>
      <c r="C61" s="4">
        <v>2</v>
      </c>
      <c r="D61" s="4">
        <v>1</v>
      </c>
      <c r="E61" s="4">
        <v>2</v>
      </c>
      <c r="F61" s="3" t="s">
        <v>11</v>
      </c>
      <c r="G61" s="3" t="s">
        <v>11</v>
      </c>
    </row>
    <row x14ac:dyDescent="0.25" r="62" customHeight="1" ht="17.25">
      <c r="A62" s="3" t="s">
        <v>137</v>
      </c>
      <c r="B62" s="12" t="s">
        <v>138</v>
      </c>
      <c r="C62" s="4">
        <v>6</v>
      </c>
      <c r="D62" s="4">
        <v>2</v>
      </c>
      <c r="E62" s="4">
        <v>0</v>
      </c>
      <c r="F62" s="3" t="s">
        <v>13</v>
      </c>
      <c r="G62" s="3" t="s">
        <v>13</v>
      </c>
    </row>
    <row x14ac:dyDescent="0.25" r="63" customHeight="1" ht="17.25">
      <c r="A63" s="3" t="s">
        <v>139</v>
      </c>
      <c r="B63" s="12" t="s">
        <v>140</v>
      </c>
      <c r="C63" s="4">
        <v>5</v>
      </c>
      <c r="D63" s="5">
        <v>0.5</v>
      </c>
      <c r="E63" s="4">
        <v>0</v>
      </c>
      <c r="F63" s="3" t="s">
        <v>13</v>
      </c>
      <c r="G63" s="3" t="s">
        <v>13</v>
      </c>
    </row>
    <row x14ac:dyDescent="0.25" r="64" customHeight="1" ht="17.25">
      <c r="A64" s="3" t="s">
        <v>141</v>
      </c>
      <c r="B64" s="12" t="s">
        <v>142</v>
      </c>
      <c r="C64" s="5">
        <v>0.5</v>
      </c>
      <c r="D64" s="5">
        <v>0.1</v>
      </c>
      <c r="E64" s="4">
        <v>0</v>
      </c>
      <c r="F64" s="3" t="s">
        <v>13</v>
      </c>
      <c r="G64" s="3" t="s">
        <v>13</v>
      </c>
    </row>
    <row x14ac:dyDescent="0.25" r="65" customHeight="1" ht="17.25">
      <c r="A65" s="3" t="s">
        <v>143</v>
      </c>
      <c r="B65" s="12" t="s">
        <v>144</v>
      </c>
      <c r="C65" s="4">
        <v>12</v>
      </c>
      <c r="D65" s="5">
        <v>12.3</v>
      </c>
      <c r="E65" s="4">
        <v>1</v>
      </c>
      <c r="F65" s="3" t="s">
        <v>13</v>
      </c>
      <c r="G65" s="3" t="s">
        <v>13</v>
      </c>
    </row>
    <row x14ac:dyDescent="0.25" r="66" customHeight="1" ht="17.25">
      <c r="A66" s="3" t="s">
        <v>145</v>
      </c>
      <c r="B66" s="12" t="s">
        <v>146</v>
      </c>
      <c r="C66" s="4">
        <v>2</v>
      </c>
      <c r="D66" s="5">
        <v>2.5</v>
      </c>
      <c r="E66" s="5">
        <v>0.2</v>
      </c>
      <c r="F66" s="3" t="s">
        <v>100</v>
      </c>
      <c r="G66" s="3" t="s">
        <v>13</v>
      </c>
    </row>
    <row x14ac:dyDescent="0.25" r="67" customHeight="1" ht="17.25">
      <c r="A67" s="3" t="s">
        <v>147</v>
      </c>
      <c r="B67" s="12" t="s">
        <v>148</v>
      </c>
      <c r="C67" s="4">
        <v>6</v>
      </c>
      <c r="D67" s="4">
        <v>3</v>
      </c>
      <c r="E67" s="5">
        <v>0.3</v>
      </c>
      <c r="F67" s="3" t="s">
        <v>4</v>
      </c>
      <c r="G67" s="3" t="s">
        <v>4</v>
      </c>
    </row>
    <row x14ac:dyDescent="0.25" r="68" customHeight="1" ht="17.25">
      <c r="A68" s="3" t="s">
        <v>149</v>
      </c>
      <c r="B68" s="12" t="s">
        <v>150</v>
      </c>
      <c r="C68" s="4">
        <v>10</v>
      </c>
      <c r="D68" s="4">
        <v>13</v>
      </c>
      <c r="E68" s="4">
        <v>1</v>
      </c>
      <c r="F68" s="3" t="s">
        <v>4</v>
      </c>
      <c r="G68" s="3" t="s">
        <v>4</v>
      </c>
    </row>
    <row x14ac:dyDescent="0.25" r="69" customHeight="1" ht="17.25">
      <c r="A69" s="3" t="s">
        <v>151</v>
      </c>
      <c r="B69" s="12" t="s">
        <v>152</v>
      </c>
      <c r="C69" s="4">
        <v>2</v>
      </c>
      <c r="D69" s="4">
        <v>1</v>
      </c>
      <c r="E69" s="4">
        <v>0</v>
      </c>
      <c r="F69" s="3" t="s">
        <v>4</v>
      </c>
      <c r="G69" s="3" t="s">
        <v>4</v>
      </c>
    </row>
    <row x14ac:dyDescent="0.25" r="70" customHeight="1" ht="17.25">
      <c r="A70" s="3" t="s">
        <v>153</v>
      </c>
      <c r="B70" s="12" t="s">
        <v>154</v>
      </c>
      <c r="C70" s="4">
        <v>2</v>
      </c>
      <c r="D70" s="4">
        <v>1</v>
      </c>
      <c r="E70" s="4">
        <v>0</v>
      </c>
      <c r="F70" s="3" t="s">
        <v>4</v>
      </c>
      <c r="G70" s="3" t="s">
        <v>4</v>
      </c>
    </row>
    <row x14ac:dyDescent="0.25" r="71" customHeight="1" ht="17.25">
      <c r="A71" s="3" t="s">
        <v>155</v>
      </c>
      <c r="B71" s="12" t="s">
        <v>156</v>
      </c>
      <c r="C71" s="5">
        <v>1.5</v>
      </c>
      <c r="D71" s="5">
        <v>0.5</v>
      </c>
      <c r="E71" s="4">
        <v>0</v>
      </c>
      <c r="F71" s="3" t="s">
        <v>4</v>
      </c>
      <c r="G71" s="3" t="s">
        <v>4</v>
      </c>
    </row>
    <row x14ac:dyDescent="0.25" r="72" customHeight="1" ht="17.25">
      <c r="A72" s="3" t="s">
        <v>157</v>
      </c>
      <c r="B72" s="12" t="s">
        <v>158</v>
      </c>
      <c r="C72" s="4">
        <v>1</v>
      </c>
      <c r="D72" s="5">
        <v>1.5</v>
      </c>
      <c r="E72" s="5">
        <v>0.2</v>
      </c>
      <c r="F72" s="3" t="s">
        <v>4</v>
      </c>
      <c r="G72" s="3" t="s">
        <v>4</v>
      </c>
    </row>
    <row x14ac:dyDescent="0.25" r="73" customHeight="1" ht="17.25">
      <c r="A73" s="3"/>
      <c r="B73" s="13" t="s">
        <v>88</v>
      </c>
      <c r="C73" s="5">
        <f>SUM(C56:C72)</f>
      </c>
      <c r="D73" s="5">
        <f>SUM(D56:D72)</f>
      </c>
      <c r="E73" s="5">
        <f>SUM(E56:E72)</f>
      </c>
      <c r="F73" s="14"/>
      <c r="G73" s="14"/>
    </row>
    <row x14ac:dyDescent="0.25" r="74" customHeight="1" ht="17.25">
      <c r="A74" s="14"/>
      <c r="B74" s="15"/>
      <c r="C74" s="16"/>
      <c r="D74" s="16"/>
      <c r="E74" s="16"/>
      <c r="F74" s="14"/>
      <c r="G74" s="14"/>
    </row>
    <row x14ac:dyDescent="0.25" r="75" customHeight="1" ht="17.25">
      <c r="A75" s="14"/>
      <c r="B75" s="15"/>
      <c r="C75" s="16"/>
      <c r="D75" s="16"/>
      <c r="E75" s="16"/>
      <c r="F75" s="14"/>
      <c r="G75" s="14"/>
    </row>
    <row x14ac:dyDescent="0.25" r="76" customHeight="1" ht="17.25">
      <c r="A76" s="14"/>
      <c r="B76" s="15"/>
      <c r="C76" s="16"/>
      <c r="D76" s="16"/>
      <c r="E76" s="16"/>
      <c r="F76" s="14"/>
      <c r="G76" s="14"/>
    </row>
    <row x14ac:dyDescent="0.25" r="77" customHeight="1" ht="17.25">
      <c r="A77" s="14"/>
      <c r="B77" s="13" t="s">
        <v>159</v>
      </c>
      <c r="C77" s="5">
        <f>SUM(C31,C53,C73)</f>
      </c>
      <c r="D77" s="5">
        <f>SUM(D31,D53,D73)</f>
      </c>
      <c r="E77" s="5">
        <f>SUM(E31,E53,E73)</f>
      </c>
      <c r="F77" s="14"/>
      <c r="G7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6" width="35.57642857142857" customWidth="1" bestFit="1"/>
    <col min="2" max="2" style="7" width="44.14785714285715" customWidth="1" bestFit="1"/>
    <col min="3" max="3" style="6" width="67.43357142857143" customWidth="1" bestFit="1"/>
    <col min="4" max="4" style="6" width="67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7.25">
      <c r="A2" s="3" t="s">
        <v>4</v>
      </c>
      <c r="B2" s="4">
        <v>48</v>
      </c>
      <c r="C2" s="3" t="s">
        <v>5</v>
      </c>
      <c r="D2" s="3" t="s">
        <v>5</v>
      </c>
    </row>
    <row x14ac:dyDescent="0.25" r="3" customHeight="1" ht="17.25">
      <c r="A3" s="3" t="s">
        <v>6</v>
      </c>
      <c r="B3" s="4">
        <v>30</v>
      </c>
      <c r="C3" s="3" t="s">
        <v>7</v>
      </c>
      <c r="D3" s="3" t="s">
        <v>8</v>
      </c>
    </row>
    <row x14ac:dyDescent="0.25" r="4" customHeight="1" ht="17.25">
      <c r="A4" s="3" t="s">
        <v>9</v>
      </c>
      <c r="B4" s="4">
        <f>SUM(3+3+9+9+3+3+3+3)</f>
      </c>
      <c r="C4" s="3" t="s">
        <v>10</v>
      </c>
      <c r="D4" s="3" t="s">
        <v>10</v>
      </c>
    </row>
    <row x14ac:dyDescent="0.25" r="5" customHeight="1" ht="17.25">
      <c r="A5" s="3" t="s">
        <v>11</v>
      </c>
      <c r="B5" s="4">
        <v>72</v>
      </c>
      <c r="C5" s="3" t="s">
        <v>12</v>
      </c>
      <c r="D5" s="3" t="s">
        <v>12</v>
      </c>
    </row>
    <row x14ac:dyDescent="0.25" r="6" customHeight="1" ht="17.25">
      <c r="A6" s="3" t="s">
        <v>13</v>
      </c>
      <c r="B6" s="5">
        <v>10.5</v>
      </c>
      <c r="C6" s="3" t="s">
        <v>14</v>
      </c>
      <c r="D6" s="3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Effort Estimation Tasks</vt:lpstr>
      <vt:lpstr>Team Effort Experience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2025-12-15T09:43:17.594Z</dcterms:created>
  <dcterms:modified xsi:type="dcterms:W3CDTF">2025-12-15T09:43:17.594Z</dcterms:modified>
</cp:coreProperties>
</file>